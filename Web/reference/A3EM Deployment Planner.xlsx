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al Drive/Dropbox/work/A3EM/"/>
    </mc:Choice>
  </mc:AlternateContent>
  <xr:revisionPtr revIDLastSave="0" documentId="13_ncr:1_{13FE6621-F12B-3248-9C0A-3FDD61CDAC6A}" xr6:coauthVersionLast="47" xr6:coauthVersionMax="47" xr10:uidLastSave="{00000000-0000-0000-0000-000000000000}"/>
  <bookViews>
    <workbookView xWindow="51200" yWindow="600" windowWidth="51200" windowHeight="26880" activeTab="1" xr2:uid="{D53431CF-1ECC-9B45-814F-617A0E5FB11A}"/>
  </bookViews>
  <sheets>
    <sheet name="Planner" sheetId="1" r:id="rId1"/>
    <sheet name="Calculations" sheetId="8" r:id="rId2"/>
    <sheet name="SdSpeeds" sheetId="4" r:id="rId3"/>
    <sheet name="SdPower" sheetId="6" r:id="rId4"/>
    <sheet name="MicPower" sheetId="2" r:id="rId5"/>
    <sheet name="ImuPower" sheetId="3" r:id="rId6"/>
    <sheet name="MagPowe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8" l="1"/>
  <c r="L4" i="1" s="1"/>
  <c r="D8" i="1"/>
  <c r="D7" i="1"/>
  <c r="C7" i="1" s="1"/>
  <c r="D6" i="1"/>
  <c r="D5" i="1"/>
  <c r="D4" i="1"/>
  <c r="M4" i="1" s="1"/>
  <c r="L16" i="8"/>
  <c r="L16" i="1" s="1"/>
  <c r="L15" i="8"/>
  <c r="L15" i="1" s="1"/>
  <c r="L14" i="8"/>
  <c r="L14" i="1" s="1"/>
  <c r="L13" i="8"/>
  <c r="L13" i="1" s="1"/>
  <c r="L12" i="8"/>
  <c r="L12" i="1" s="1"/>
  <c r="L8" i="8"/>
  <c r="L8" i="1" s="1"/>
  <c r="L7" i="8"/>
  <c r="L7" i="1" s="1"/>
  <c r="L6" i="8"/>
  <c r="L6" i="1" s="1"/>
  <c r="L5" i="8"/>
  <c r="L5" i="1" s="1"/>
  <c r="D16" i="8"/>
  <c r="D15" i="8"/>
  <c r="D14" i="8"/>
  <c r="D13" i="8"/>
  <c r="D12" i="8"/>
  <c r="D8" i="8"/>
  <c r="C8" i="8" s="1"/>
  <c r="D7" i="8"/>
  <c r="C7" i="8" s="1"/>
  <c r="D6" i="8"/>
  <c r="C6" i="8" s="1"/>
  <c r="D5" i="8"/>
  <c r="C5" i="8" s="1"/>
  <c r="D4" i="8"/>
  <c r="C4" i="8" s="1"/>
  <c r="E22" i="8"/>
  <c r="E20" i="8"/>
  <c r="E6" i="7"/>
  <c r="D16" i="1"/>
  <c r="F16" i="1" s="1"/>
  <c r="D15" i="1"/>
  <c r="F15" i="1" s="1"/>
  <c r="D14" i="1"/>
  <c r="M14" i="1" s="1"/>
  <c r="D13" i="1"/>
  <c r="F13" i="1" s="1"/>
  <c r="D12" i="1"/>
  <c r="F12" i="1" s="1"/>
  <c r="M8" i="1"/>
  <c r="C6" i="1"/>
  <c r="M5" i="1"/>
  <c r="E16" i="1" a="1"/>
  <c r="E16" i="1" s="1"/>
  <c r="G16" i="1" s="1"/>
  <c r="E15" i="1" a="1"/>
  <c r="E15" i="1" s="1"/>
  <c r="G15" i="1" s="1"/>
  <c r="E14" i="1" a="1"/>
  <c r="E14" i="1" s="1"/>
  <c r="G14" i="1" s="1"/>
  <c r="E13" i="1" a="1"/>
  <c r="E13" i="1" s="1"/>
  <c r="G13" i="1" s="1"/>
  <c r="E12" i="1" a="1"/>
  <c r="E12" i="1" s="1"/>
  <c r="G12" i="1" s="1"/>
  <c r="E8" i="1" a="1"/>
  <c r="E8" i="1" s="1"/>
  <c r="F8" i="1" s="1"/>
  <c r="E7" i="1" a="1"/>
  <c r="E7" i="1" s="1"/>
  <c r="F7" i="1" s="1"/>
  <c r="E6" i="1" a="1"/>
  <c r="E6" i="1" s="1"/>
  <c r="F6" i="1" s="1"/>
  <c r="E5" i="1" a="1"/>
  <c r="E5" i="1" s="1"/>
  <c r="F5" i="1" s="1"/>
  <c r="E4" i="1" a="1"/>
  <c r="E4" i="1" s="1"/>
  <c r="F4" i="1" s="1"/>
  <c r="J8" i="1" l="1"/>
  <c r="C4" i="1"/>
  <c r="C5" i="1"/>
  <c r="M15" i="1"/>
  <c r="M16" i="1"/>
  <c r="J4" i="1"/>
  <c r="J5" i="1"/>
  <c r="J6" i="1"/>
  <c r="J7" i="1"/>
  <c r="E7" i="8" s="1"/>
  <c r="J12" i="1"/>
  <c r="E12" i="8" s="1"/>
  <c r="G12" i="8" s="1"/>
  <c r="J14" i="1"/>
  <c r="J13" i="1"/>
  <c r="E13" i="8" s="1"/>
  <c r="G13" i="8" s="1"/>
  <c r="I13" i="8" s="1"/>
  <c r="J16" i="1"/>
  <c r="J15" i="1"/>
  <c r="K5" i="1"/>
  <c r="K16" i="1"/>
  <c r="K15" i="1"/>
  <c r="K13" i="1"/>
  <c r="K12" i="1"/>
  <c r="K4" i="1"/>
  <c r="K8" i="1"/>
  <c r="K7" i="1"/>
  <c r="K6" i="1"/>
  <c r="F14" i="1"/>
  <c r="M6" i="1"/>
  <c r="M7" i="1"/>
  <c r="M12" i="1"/>
  <c r="C8" i="1"/>
  <c r="M13" i="1"/>
  <c r="H5" i="1"/>
  <c r="H5" i="8" s="1"/>
  <c r="H6" i="1"/>
  <c r="H6" i="8" s="1"/>
  <c r="H8" i="1"/>
  <c r="H8" i="8" s="1"/>
  <c r="H12" i="1"/>
  <c r="H12" i="8" s="1"/>
  <c r="H16" i="1"/>
  <c r="H16" i="8" s="1"/>
  <c r="H13" i="1"/>
  <c r="H13" i="8" s="1"/>
  <c r="H15" i="1"/>
  <c r="H15" i="8" s="1"/>
  <c r="H7" i="1"/>
  <c r="H7" i="8" s="1"/>
  <c r="H4" i="1"/>
  <c r="H4" i="8" s="1"/>
  <c r="G6" i="1"/>
  <c r="G5" i="1"/>
  <c r="G8" i="1"/>
  <c r="G4" i="1"/>
  <c r="G7" i="1"/>
  <c r="I12" i="8" l="1"/>
  <c r="F12" i="8"/>
  <c r="J12" i="8" s="1"/>
  <c r="K12" i="8" s="1"/>
  <c r="F7" i="8"/>
  <c r="J7" i="8" s="1"/>
  <c r="K7" i="8" s="1"/>
  <c r="G7" i="8"/>
  <c r="I7" i="8" s="1"/>
  <c r="E6" i="8"/>
  <c r="H14" i="1"/>
  <c r="H14" i="8"/>
  <c r="E5" i="8"/>
  <c r="E15" i="8"/>
  <c r="E14" i="8"/>
  <c r="F13" i="8"/>
  <c r="J13" i="8" s="1"/>
  <c r="K13" i="8" s="1"/>
  <c r="E16" i="8"/>
  <c r="E8" i="8"/>
  <c r="E4" i="8"/>
  <c r="F4" i="8" s="1"/>
  <c r="J4" i="8" s="1"/>
  <c r="N8" i="1"/>
  <c r="N5" i="1"/>
  <c r="K14" i="1"/>
  <c r="N7" i="1"/>
  <c r="N6" i="1"/>
  <c r="N16" i="1"/>
  <c r="N14" i="1"/>
  <c r="N13" i="1"/>
  <c r="N12" i="1"/>
  <c r="N15" i="1"/>
  <c r="G16" i="8" l="1"/>
  <c r="I16" i="8" s="1"/>
  <c r="F16" i="8"/>
  <c r="J16" i="8" s="1"/>
  <c r="K16" i="8" s="1"/>
  <c r="F15" i="8"/>
  <c r="J15" i="8" s="1"/>
  <c r="K15" i="8" s="1"/>
  <c r="G15" i="8"/>
  <c r="I15" i="8" s="1"/>
  <c r="G5" i="8"/>
  <c r="I5" i="8" s="1"/>
  <c r="F5" i="8"/>
  <c r="J5" i="8" s="1"/>
  <c r="K5" i="8" s="1"/>
  <c r="G14" i="8"/>
  <c r="I14" i="8" s="1"/>
  <c r="F14" i="8"/>
  <c r="J14" i="8" s="1"/>
  <c r="K14" i="8" s="1"/>
  <c r="G6" i="8"/>
  <c r="I6" i="8" s="1"/>
  <c r="F6" i="8"/>
  <c r="J6" i="8" s="1"/>
  <c r="K6" i="8" s="1"/>
  <c r="F8" i="8"/>
  <c r="J8" i="8" s="1"/>
  <c r="K8" i="8" s="1"/>
  <c r="G8" i="8"/>
  <c r="I8" i="8" s="1"/>
  <c r="G4" i="8"/>
  <c r="I4" i="8" s="1"/>
  <c r="K4" i="8"/>
  <c r="N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<sst xmlns="http://schemas.openxmlformats.org/spreadsheetml/2006/main" count="118" uniqueCount="74">
  <si>
    <t>Audio Sampling Rate (Hz)</t>
  </si>
  <si>
    <t>Average Current (mA)</t>
  </si>
  <si>
    <t>UNCOMPRESSED WAV FILE RECORDING</t>
  </si>
  <si>
    <t>COMPRESSED OGG OPUS RECORDING</t>
  </si>
  <si>
    <t>Est. Storage Capacity (days)</t>
  </si>
  <si>
    <t>Est. Battery Life (days)</t>
  </si>
  <si>
    <t>Battery Capacity (mAh):</t>
  </si>
  <si>
    <t>SD Card Size (GB):</t>
  </si>
  <si>
    <t>Stored Clip Length (s):</t>
  </si>
  <si>
    <t>Microphone Type:</t>
  </si>
  <si>
    <t>IMU Sampling Rate (Hz):</t>
  </si>
  <si>
    <t>Audio Processing Interval (s)</t>
  </si>
  <si>
    <t>Audio Data Rate (kbps)</t>
  </si>
  <si>
    <t>Audio Data Rate (KB/s)</t>
  </si>
  <si>
    <t>IMU Processing Interval (s)</t>
  </si>
  <si>
    <t>IMU Write Interval (s)</t>
  </si>
  <si>
    <t>CMM4030DT</t>
  </si>
  <si>
    <t>DMM3526-4-B</t>
  </si>
  <si>
    <t>MMICT5838</t>
  </si>
  <si>
    <t>SD Audio Cache Size (bytes):</t>
  </si>
  <si>
    <t>Audio DMA Buffer Size (samples):</t>
  </si>
  <si>
    <t>IMU FIFO Size (samples):</t>
  </si>
  <si>
    <t>SD IMU Cache Size (samples):</t>
  </si>
  <si>
    <t>SPH18R1LM4H</t>
  </si>
  <si>
    <t>SD Card Write Interval (s)</t>
  </si>
  <si>
    <t>Audio Write Time per SD Interval (ms)</t>
  </si>
  <si>
    <t>IMU Write Time per SD Interval (ms)</t>
  </si>
  <si>
    <t>Encoding Time Per Audio Interval (ms)</t>
  </si>
  <si>
    <t>Mic Name</t>
  </si>
  <si>
    <t>Steady-State Listening Power (mA)</t>
  </si>
  <si>
    <t>Analog</t>
  </si>
  <si>
    <t>IM72D128V</t>
  </si>
  <si>
    <t>MP34DT05</t>
  </si>
  <si>
    <t>SPH0141L</t>
  </si>
  <si>
    <t>SD Measured Activation Current (mA):</t>
  </si>
  <si>
    <t>SD Measured Write Current (mA):</t>
  </si>
  <si>
    <t>Measure</t>
  </si>
  <si>
    <t>&lt;- Measure</t>
  </si>
  <si>
    <t>IMU Sampling Rate</t>
  </si>
  <si>
    <t>SD Measured Activation Duration (ms):</t>
  </si>
  <si>
    <t>MCU Measured Idle/Sleep Current (mA):</t>
  </si>
  <si>
    <t>MCU Measured Active Current (mA):</t>
  </si>
  <si>
    <t>Depends on card</t>
  </si>
  <si>
    <t>U1</t>
  </si>
  <si>
    <t>SD Card Speed Class</t>
  </si>
  <si>
    <t>MB/sec</t>
  </si>
  <si>
    <t>C2</t>
  </si>
  <si>
    <t>C4</t>
  </si>
  <si>
    <t>C6</t>
  </si>
  <si>
    <t>U3</t>
  </si>
  <si>
    <t>V6</t>
  </si>
  <si>
    <t>V10</t>
  </si>
  <si>
    <t>V30</t>
  </si>
  <si>
    <t>V60</t>
  </si>
  <si>
    <t>V90</t>
  </si>
  <si>
    <t>SD Write Time per Byte (ms):</t>
  </si>
  <si>
    <t>SD Card Speed Class:</t>
  </si>
  <si>
    <t>Magnet Sensor Active Time (ms):</t>
  </si>
  <si>
    <t>Magnet Sensor Sleep Time (ms):</t>
  </si>
  <si>
    <t>Measurement Duration (ms):</t>
  </si>
  <si>
    <t>Measurement Current @ 1.8V (mA):</t>
  </si>
  <si>
    <t>Idle Current @ 1.8V (mA):</t>
  </si>
  <si>
    <t>Sleep Current @ 1.8V (mA):</t>
  </si>
  <si>
    <t>Total Average Current @ 1.8V (mA):</t>
  </si>
  <si>
    <t>SD FAT Maintenance Duration (ms):</t>
  </si>
  <si>
    <t>SD Card Write Time per Activation (ms)</t>
  </si>
  <si>
    <t>SD Card Write Time per Second (ms)</t>
  </si>
  <si>
    <t>SD Card Idle Time per Second (ms)</t>
  </si>
  <si>
    <t>SD Card Sleep Time per Second (ms)</t>
  </si>
  <si>
    <t>Total MCU Active Time per Second (ms)</t>
  </si>
  <si>
    <t>Total MCU Idle Time per Second (ms)</t>
  </si>
  <si>
    <t>SD Measured Sleep Current (mA):</t>
  </si>
  <si>
    <t>MCU Active Time per SD Activation (ms)</t>
  </si>
  <si>
    <t>Check Encoding Time per Audio Interval for uncompressed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</si>
</sst>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3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quotePrefix="1" applyAlignment="1">
      <alignment vertical="center" wrapText="1"/>
    </xf>
    <xf numFmtId="0" fontId="0" fillId="0" borderId="0" xfId="0" quotePrefix="1" applyAlignment="1">
      <alignment vertical="center"/>
    </xf>
    <xf numFmtId="0" fontId="0" fillId="0" borderId="0" xfId="0" quotePrefix="1" applyAlignment="1">
      <alignment horizontal="left" vertical="center" indent="1"/>
    </xf>
    <xf numFmtId="0" fontId="1" fillId="0" borderId="0" xfId="0" applyFont="1" applyAlignment="1">
      <alignment vertical="center"/>
    </xf>
    <xf numFmtId="0" fontId="1" fillId="0" borderId="0" xfId="0" applyFont="1"/>
    <xf numFmtId="0" fontId="0" fillId="3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 indent="1"/>
    </xf>
    <xf numFmtId="0" fontId="0" fillId="4" borderId="0" xfId="0" quotePrefix="1" applyFill="1" applyAlignment="1">
      <alignment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right" vertical="center" indent="1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5C03-8F52-6A40-9390-E05082DF4AD3}">
  <dimension ref="B2:N23"/>
  <sheetViews>
    <sheetView workbookViewId="0"/>
  </sheetViews>
  <sheetFormatPr baseColWidth="10" defaultRowHeight="16" x14ac:dyDescent="0.2"/>
  <cols>
    <col min="1" max="1" width="3.33203125" style="1" customWidth="1"/>
    <col min="2" max="2" width="16.1640625" style="1" customWidth="1"/>
    <col min="3" max="3" width="12.5" style="1" customWidth="1"/>
    <col min="4" max="4" width="12.6640625" style="1" customWidth="1"/>
    <col min="5" max="5" width="16" style="1" customWidth="1"/>
    <col min="6" max="6" width="14" style="1" customWidth="1"/>
    <col min="7" max="7" width="14.1640625" style="1" customWidth="1"/>
    <col min="8" max="8" width="12.33203125" style="1" customWidth="1"/>
    <col min="9" max="9" width="18.5" style="1" customWidth="1"/>
    <col min="10" max="10" width="19.33203125" style="1" customWidth="1"/>
    <col min="11" max="11" width="17.6640625" style="1" customWidth="1"/>
    <col min="12" max="12" width="12.33203125" style="1" customWidth="1"/>
    <col min="13" max="13" width="14.5" style="1" customWidth="1"/>
    <col min="14" max="14" width="13" style="1" customWidth="1"/>
    <col min="15" max="15" width="10.83203125" style="1"/>
    <col min="16" max="16" width="19.33203125" style="1" customWidth="1"/>
    <col min="17" max="17" width="19.5" style="1" customWidth="1"/>
    <col min="18" max="18" width="17.6640625" style="1" customWidth="1"/>
    <col min="19" max="19" width="16.33203125" style="1" customWidth="1"/>
    <col min="20" max="20" width="18" style="1" customWidth="1"/>
    <col min="21" max="21" width="20.1640625" style="1" customWidth="1"/>
    <col min="22" max="22" width="18.33203125" style="1" customWidth="1"/>
    <col min="23" max="16384" width="10.83203125" style="1"/>
  </cols>
  <sheetData>
    <row r="2" spans="2:14" ht="19" x14ac:dyDescent="0.25">
      <c r="B2" s="20" t="s">
        <v>2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2:14" ht="32" customHeight="1" x14ac:dyDescent="0.2">
      <c r="B3" s="2" t="s">
        <v>0</v>
      </c>
      <c r="C3" s="2" t="s">
        <v>12</v>
      </c>
      <c r="D3" s="2" t="s">
        <v>13</v>
      </c>
      <c r="E3" s="2" t="s">
        <v>11</v>
      </c>
      <c r="F3" s="2" t="s">
        <v>24</v>
      </c>
      <c r="G3" s="2" t="s">
        <v>14</v>
      </c>
      <c r="H3" s="2" t="s">
        <v>15</v>
      </c>
      <c r="I3" s="2" t="s">
        <v>27</v>
      </c>
      <c r="J3" s="2" t="s">
        <v>25</v>
      </c>
      <c r="K3" s="2" t="s">
        <v>26</v>
      </c>
      <c r="L3" s="2" t="s">
        <v>1</v>
      </c>
      <c r="M3" s="2" t="s">
        <v>4</v>
      </c>
      <c r="N3" s="2" t="s">
        <v>5</v>
      </c>
    </row>
    <row r="4" spans="2:14" x14ac:dyDescent="0.2">
      <c r="B4" s="3">
        <v>8000</v>
      </c>
      <c r="C4" s="3">
        <f>$D4*8</f>
        <v>125</v>
      </c>
      <c r="D4" s="3">
        <f>2*$B4/1024</f>
        <v>15.625</v>
      </c>
      <c r="E4" s="3" cm="1">
        <f t="array" ref="E4">_xlfn.LET(_xlpm.MaxInt,Calculations!$E$18/$B4,IF(_xlpm.MaxInt&gt;$D$19,$D$19,MAX(_xlfn.LET(_xlpm.Den,_xlfn.SEQUENCE(_xlpm.MaxInt),_xlfn._xlws.FILTER(_xlpm.Den,MOD($D$19,_xlpm.Den)=0)))))</f>
        <v>12</v>
      </c>
      <c r="F4" s="3">
        <f>$E4</f>
        <v>12</v>
      </c>
      <c r="G4" s="3">
        <f>IF($D$20=0,0,IF(Calculations!$E$21&lt;$E4*$D$20,$E4/(_xlfn.FLOOR.MATH($E4/(Calculations!$E$21/$D$20))+IF(MOD(Calculations!$E$21,$D$20)=0,0,1)),$E4))</f>
        <v>2.4</v>
      </c>
      <c r="H4" s="3">
        <f>IF($D$20=0,0,MIN(Calculations!$E$20/$D$20,$F4))</f>
        <v>12</v>
      </c>
      <c r="I4" s="3">
        <v>25</v>
      </c>
      <c r="J4" s="17">
        <f>Calculations!$E$22*Calculations!$E$18*2</f>
        <v>18.310546875</v>
      </c>
      <c r="K4" s="17">
        <f>Calculations!$E$22*$F4*$D$20*3*4</f>
        <v>0.6866455078125</v>
      </c>
      <c r="L4" s="17">
        <f>Calculations!$L4</f>
        <v>1.8412364907579208</v>
      </c>
      <c r="M4" s="3">
        <f>_xlfn.FLOOR.MATH($D$21*1024*1024*1024/(($D4*1024)+($D$20*3*4))/60/60/24)</f>
        <v>95</v>
      </c>
      <c r="N4" s="3">
        <f>_xlfn.FLOOR.MATH($D$22/$L4/24)</f>
        <v>158</v>
      </c>
    </row>
    <row r="5" spans="2:14" x14ac:dyDescent="0.2">
      <c r="B5" s="3">
        <v>16000</v>
      </c>
      <c r="C5" s="3">
        <f>$D5*8</f>
        <v>250</v>
      </c>
      <c r="D5" s="3">
        <f>2*$B5/1024</f>
        <v>31.25</v>
      </c>
      <c r="E5" s="3" cm="1">
        <f t="array" ref="E5">_xlfn.LET(_xlpm.MaxInt,Calculations!$E$18/$B5,IF(_xlpm.MaxInt&gt;$D$19,$D$19,MAX(_xlfn.LET(_xlpm.Den,_xlfn.SEQUENCE(_xlpm.MaxInt),_xlfn._xlws.FILTER(_xlpm.Den,MOD($D$19,_xlpm.Den)=0)))))</f>
        <v>6</v>
      </c>
      <c r="F5" s="3">
        <f>$E5</f>
        <v>6</v>
      </c>
      <c r="G5" s="3">
        <f>IF($D$20=0,0,IF(Calculations!$E$21&lt;$E5*$D$20,$E5/(_xlfn.FLOOR.MATH($E5/(Calculations!$E$21/$D$20))+IF(MOD(Calculations!$E$21,$D$20)=0,0,1)),$E5))</f>
        <v>2</v>
      </c>
      <c r="H5" s="3">
        <f>IF($D$20=0,0,MIN(Calculations!$E$20/$D$20,$F5))</f>
        <v>6</v>
      </c>
      <c r="I5" s="3">
        <v>25</v>
      </c>
      <c r="J5" s="17">
        <f>Calculations!$E$22*Calculations!$E$18*2</f>
        <v>18.310546875</v>
      </c>
      <c r="K5" s="17">
        <f>Calculations!$E$22*$F5*$D$20*3*4</f>
        <v>0.34332275390625</v>
      </c>
      <c r="L5" s="17">
        <f>Calculations!$L5</f>
        <v>2.0714797362006294</v>
      </c>
      <c r="M5" s="3">
        <f>_xlfn.FLOOR.MATH($D$21*1024*1024*1024/(($D5*1024)+($D$20*3*4))/60/60/24)</f>
        <v>48</v>
      </c>
      <c r="N5" s="3">
        <f>_xlfn.FLOOR.MATH($D$22/$L5/24)</f>
        <v>140</v>
      </c>
    </row>
    <row r="6" spans="2:14" x14ac:dyDescent="0.2">
      <c r="B6" s="3">
        <v>24000</v>
      </c>
      <c r="C6" s="3">
        <f>$D6*8</f>
        <v>375</v>
      </c>
      <c r="D6" s="3">
        <f>2*$B6/1024</f>
        <v>46.875</v>
      </c>
      <c r="E6" s="3" cm="1">
        <f t="array" ref="E6">_xlfn.LET(_xlpm.MaxInt,Calculations!$E$18/$B6,IF(_xlpm.MaxInt&gt;$D$19,$D$19,MAX(_xlfn.LET(_xlpm.Den,_xlfn.SEQUENCE(_xlpm.MaxInt),_xlfn._xlws.FILTER(_xlpm.Den,MOD($D$19,_xlpm.Den)=0)))))</f>
        <v>4</v>
      </c>
      <c r="F6" s="3">
        <f>$E6</f>
        <v>4</v>
      </c>
      <c r="G6" s="3">
        <f>IF($D$20=0,0,IF(Calculations!$E$21&lt;$E6*$D$20,$E6/(_xlfn.FLOOR.MATH($E6/(Calculations!$E$21/$D$20))+IF(MOD(Calculations!$E$21,$D$20)=0,0,1)),$E6))</f>
        <v>2</v>
      </c>
      <c r="H6" s="3">
        <f>IF($D$20=0,0,MIN(Calculations!$E$20/$D$20,$F6))</f>
        <v>4</v>
      </c>
      <c r="I6" s="3">
        <v>25</v>
      </c>
      <c r="J6" s="17">
        <f>Calculations!$E$22*Calculations!$E$18*2</f>
        <v>18.310546875</v>
      </c>
      <c r="K6" s="17">
        <f>Calculations!$E$22*$F6*$D$20*3*4</f>
        <v>0.2288818359375</v>
      </c>
      <c r="L6" s="17">
        <f>Calculations!$L6</f>
        <v>2.3017229816433376</v>
      </c>
      <c r="M6" s="3">
        <f>_xlfn.FLOOR.MATH($D$21*1024*1024*1024/(($D6*1024)+($D$20*3*4))/60/60/24)</f>
        <v>32</v>
      </c>
      <c r="N6" s="3">
        <f>_xlfn.FLOOR.MATH($D$22/$L6/24)</f>
        <v>126</v>
      </c>
    </row>
    <row r="7" spans="2:14" x14ac:dyDescent="0.2">
      <c r="B7" s="3">
        <v>32000</v>
      </c>
      <c r="C7" s="3">
        <f>$D7*8</f>
        <v>500</v>
      </c>
      <c r="D7" s="3">
        <f>2*$B7/1024</f>
        <v>62.5</v>
      </c>
      <c r="E7" s="3" cm="1">
        <f t="array" ref="E7">_xlfn.LET(_xlpm.MaxInt,Calculations!$E$18/$B7,IF(_xlpm.MaxInt&gt;$D$19,$D$19,MAX(_xlfn.LET(_xlpm.Den,_xlfn.SEQUENCE(_xlpm.MaxInt),_xlfn._xlws.FILTER(_xlpm.Den,MOD($D$19,_xlpm.Den)=0)))))</f>
        <v>3</v>
      </c>
      <c r="F7" s="3">
        <f>$E7</f>
        <v>3</v>
      </c>
      <c r="G7" s="3">
        <f>IF($D$20=0,0,IF(Calculations!$E$21&lt;$E7*$D$20,$E7/(_xlfn.FLOOR.MATH($E7/(Calculations!$E$21/$D$20))+IF(MOD(Calculations!$E$21,$D$20)=0,0,1)),$E7))</f>
        <v>1.5</v>
      </c>
      <c r="H7" s="3">
        <f>IF($D$20=0,0,MIN(Calculations!$E$20/$D$20,$F7))</f>
        <v>3</v>
      </c>
      <c r="I7" s="3">
        <v>25</v>
      </c>
      <c r="J7" s="17">
        <f>Calculations!$E$22*Calculations!$E$18*2</f>
        <v>18.310546875</v>
      </c>
      <c r="K7" s="17">
        <f>Calculations!$E$22*$F7*$D$20*3*4</f>
        <v>0.171661376953125</v>
      </c>
      <c r="L7" s="17">
        <f>Calculations!$L7</f>
        <v>2.5319662270860457</v>
      </c>
      <c r="M7" s="3">
        <f>_xlfn.FLOOR.MATH($D$21*1024*1024*1024/(($D7*1024)+($D$20*3*4))/60/60/24)</f>
        <v>24</v>
      </c>
      <c r="N7" s="3">
        <f>_xlfn.FLOOR.MATH($D$22/$L7/24)</f>
        <v>115</v>
      </c>
    </row>
    <row r="8" spans="2:14" x14ac:dyDescent="0.2">
      <c r="B8" s="3">
        <v>48000</v>
      </c>
      <c r="C8" s="3">
        <f>$D8*8</f>
        <v>750</v>
      </c>
      <c r="D8" s="3">
        <f>2*$B8/1024</f>
        <v>93.75</v>
      </c>
      <c r="E8" s="3" cm="1">
        <f t="array" ref="E8">_xlfn.LET(_xlpm.MaxInt,Calculations!$E$18/$B8,IF(_xlpm.MaxInt&gt;$D$19,$D$19,MAX(_xlfn.LET(_xlpm.Den,_xlfn.SEQUENCE(_xlpm.MaxInt),_xlfn._xlws.FILTER(_xlpm.Den,MOD($D$19,_xlpm.Den)=0)))))</f>
        <v>2</v>
      </c>
      <c r="F8" s="3">
        <f>$E8</f>
        <v>2</v>
      </c>
      <c r="G8" s="3">
        <f>IF($D$20=0,0,IF(Calculations!$E$21&lt;$E8*$D$20,$E8/(_xlfn.FLOOR.MATH($E8/(Calculations!$E$21/$D$20))+IF(MOD(Calculations!$E$21,$D$20)=0,0,1)),$E8))</f>
        <v>2</v>
      </c>
      <c r="H8" s="3">
        <f>IF($D$20=0,0,MIN(Calculations!$E$20/$D$20,$F8))</f>
        <v>2</v>
      </c>
      <c r="I8" s="3">
        <v>25</v>
      </c>
      <c r="J8" s="17">
        <f>Calculations!$E$22*Calculations!$E$18*2</f>
        <v>18.310546875</v>
      </c>
      <c r="K8" s="17">
        <f>Calculations!$E$22*$F8*$D$20*3*4</f>
        <v>0.11444091796875</v>
      </c>
      <c r="L8" s="17">
        <f>Calculations!$L8</f>
        <v>2.9924527179714624</v>
      </c>
      <c r="M8" s="3">
        <f>_xlfn.FLOOR.MATH($D$21*1024*1024*1024/(($D8*1024)+($D$20*3*4))/60/60/24)</f>
        <v>16</v>
      </c>
      <c r="N8" s="3">
        <f>_xlfn.FLOOR.MATH($D$22/$L8/24)</f>
        <v>97</v>
      </c>
    </row>
    <row r="10" spans="2:14" ht="19" x14ac:dyDescent="0.25">
      <c r="B10" s="20" t="s">
        <v>3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2:14" ht="32" customHeight="1" x14ac:dyDescent="0.2">
      <c r="B11" s="2" t="s">
        <v>0</v>
      </c>
      <c r="C11" s="2" t="s">
        <v>12</v>
      </c>
      <c r="D11" s="2" t="s">
        <v>13</v>
      </c>
      <c r="E11" s="2" t="s">
        <v>11</v>
      </c>
      <c r="F11" s="2" t="s">
        <v>24</v>
      </c>
      <c r="G11" s="2" t="s">
        <v>14</v>
      </c>
      <c r="H11" s="2" t="s">
        <v>15</v>
      </c>
      <c r="I11" s="2" t="s">
        <v>27</v>
      </c>
      <c r="J11" s="2" t="s">
        <v>25</v>
      </c>
      <c r="K11" s="2" t="s">
        <v>26</v>
      </c>
      <c r="L11" s="2" t="s">
        <v>1</v>
      </c>
      <c r="M11" s="2" t="s">
        <v>4</v>
      </c>
      <c r="N11" s="2" t="s">
        <v>5</v>
      </c>
    </row>
    <row r="12" spans="2:14" x14ac:dyDescent="0.2">
      <c r="B12" s="3">
        <v>48000</v>
      </c>
      <c r="C12" s="3">
        <v>16</v>
      </c>
      <c r="D12" s="3">
        <f>$C12/8</f>
        <v>2</v>
      </c>
      <c r="E12" s="3" cm="1">
        <f t="array" ref="E12">_xlfn.LET(_xlpm.MaxInt,Calculations!$E$18/$B12,IF(_xlpm.MaxInt&gt;$D$19,$D$19,MAX(_xlfn.LET(_xlpm.Den,_xlfn.SEQUENCE(_xlpm.MaxInt),_xlfn._xlws.FILTER(_xlpm.Den,MOD($D$19,_xlpm.Den)=0)))))</f>
        <v>2</v>
      </c>
      <c r="F12" s="4">
        <f>Calculations!$E$19/($D12*1000)</f>
        <v>32.768000000000001</v>
      </c>
      <c r="G12" s="3">
        <f>IF($D$20=0,0,IF(Calculations!$E$21&lt;$E12*$D$20,$E12/(_xlfn.FLOOR.MATH($E12/(Calculations!$E$21/$D$20))+IF(MOD(Calculations!$E$21,$D$20)=0,0,1)),$E12))</f>
        <v>2</v>
      </c>
      <c r="H12" s="4">
        <f>IF($D$20=0,0,MIN(Calculations!$E$20/$D$20,$F12))</f>
        <v>26</v>
      </c>
      <c r="I12" s="3">
        <v>521</v>
      </c>
      <c r="J12" s="17">
        <f>Calculations!$E$22*Calculations!$E$19</f>
        <v>6.25</v>
      </c>
      <c r="K12" s="17">
        <f>Calculations!$E$22*$F12*$D$20*3*4</f>
        <v>1.875</v>
      </c>
      <c r="L12" s="17">
        <f>Calculations!$L12</f>
        <v>2.2924758563991974</v>
      </c>
      <c r="M12" s="3">
        <f>_xlfn.FLOOR.MATH($D$21*1024*1024*1024/(($D12*1024)+($D$20*3*4))/60/60/24)</f>
        <v>600</v>
      </c>
      <c r="N12" s="3">
        <f>_xlfn.FLOOR.MATH($D$22/$L12/24)</f>
        <v>127</v>
      </c>
    </row>
    <row r="13" spans="2:14" x14ac:dyDescent="0.2">
      <c r="B13" s="3">
        <v>48000</v>
      </c>
      <c r="C13" s="3">
        <v>32</v>
      </c>
      <c r="D13" s="3">
        <f>$C13/8</f>
        <v>4</v>
      </c>
      <c r="E13" s="3" cm="1">
        <f t="array" ref="E13">_xlfn.LET(_xlpm.MaxInt,Calculations!$E$18/$B13,IF(_xlpm.MaxInt&gt;$D$19,$D$19,MAX(_xlfn.LET(_xlpm.Den,_xlfn.SEQUENCE(_xlpm.MaxInt),_xlfn._xlws.FILTER(_xlpm.Den,MOD($D$19,_xlpm.Den)=0)))))</f>
        <v>2</v>
      </c>
      <c r="F13" s="4">
        <f>Calculations!$E$19/($D13*1000)</f>
        <v>16.384</v>
      </c>
      <c r="G13" s="3">
        <f>IF($D$20=0,0,IF(Calculations!$E$21&lt;$E13*$D$20,$E13/(_xlfn.FLOOR.MATH($E13/(Calculations!$E$21/$D$20))+IF(MOD(Calculations!$E$21,$D$20)=0,0,1)),$E13))</f>
        <v>2</v>
      </c>
      <c r="H13" s="4">
        <f>IF($D$20=0,0,MIN(Calculations!$E$20/$D$20,$F13))</f>
        <v>16.384</v>
      </c>
      <c r="I13" s="3">
        <v>684</v>
      </c>
      <c r="J13" s="17">
        <f>Calculations!$E$22*Calculations!$E$19</f>
        <v>6.25</v>
      </c>
      <c r="K13" s="17">
        <f>Calculations!$E$22*$F13*$D$20*3*4</f>
        <v>0.9375</v>
      </c>
      <c r="L13" s="17">
        <f>Calculations!$L13</f>
        <v>2.5062587116238064</v>
      </c>
      <c r="M13" s="3">
        <f>_xlfn.FLOOR.MATH($D$21*1024*1024*1024/(($D13*1024)+($D$20*3*4))/60/60/24)</f>
        <v>338</v>
      </c>
      <c r="N13" s="3">
        <f>_xlfn.FLOOR.MATH($D$22/$L13/24)</f>
        <v>116</v>
      </c>
    </row>
    <row r="14" spans="2:14" x14ac:dyDescent="0.2">
      <c r="B14" s="3">
        <v>48000</v>
      </c>
      <c r="C14" s="3">
        <v>64</v>
      </c>
      <c r="D14" s="3">
        <f>$C14/8</f>
        <v>8</v>
      </c>
      <c r="E14" s="3" cm="1">
        <f t="array" ref="E14">_xlfn.LET(_xlpm.MaxInt,Calculations!$E$18/$B14,IF(_xlpm.MaxInt&gt;$D$19,$D$19,MAX(_xlfn.LET(_xlpm.Den,_xlfn.SEQUENCE(_xlpm.MaxInt),_xlfn._xlws.FILTER(_xlpm.Den,MOD($D$19,_xlpm.Den)=0)))))</f>
        <v>2</v>
      </c>
      <c r="F14" s="4">
        <f>Calculations!$E$19/($D14*1000)</f>
        <v>8.1920000000000002</v>
      </c>
      <c r="G14" s="3">
        <f>IF($D$20=0,0,IF(Calculations!$E$21&lt;$E14*$D$20,$E14/(_xlfn.FLOOR.MATH($E14/(Calculations!$E$21/$D$20))+IF(MOD(Calculations!$E$21,$D$20)=0,0,1)),$E14))</f>
        <v>2</v>
      </c>
      <c r="H14" s="4">
        <f>IF($D$20=0,0,MIN(Calculations!$E$20/$D$20,$F14))</f>
        <v>8.1920000000000002</v>
      </c>
      <c r="I14" s="3">
        <v>813</v>
      </c>
      <c r="J14" s="17">
        <f>Calculations!$E$22*Calculations!$E$19</f>
        <v>6.25</v>
      </c>
      <c r="K14" s="17">
        <f>Calculations!$E$22*$F14*$D$20*3*4</f>
        <v>0.46875</v>
      </c>
      <c r="L14" s="17">
        <f>Calculations!$L14</f>
        <v>2.7632741779323999</v>
      </c>
      <c r="M14" s="3">
        <f>_xlfn.FLOOR.MATH($D$21*1024*1024*1024/(($D14*1024)+($D$20*3*4))/60/60/24)</f>
        <v>180</v>
      </c>
      <c r="N14" s="3">
        <f>_xlfn.FLOOR.MATH($D$22/$L14/24)</f>
        <v>105</v>
      </c>
    </row>
    <row r="15" spans="2:14" x14ac:dyDescent="0.2">
      <c r="B15" s="3">
        <v>48000</v>
      </c>
      <c r="C15" s="3">
        <v>96</v>
      </c>
      <c r="D15" s="3">
        <f>$C15/8</f>
        <v>12</v>
      </c>
      <c r="E15" s="3" cm="1">
        <f t="array" ref="E15">_xlfn.LET(_xlpm.MaxInt,Calculations!$E$18/$B15,IF(_xlpm.MaxInt&gt;$D$19,$D$19,MAX(_xlfn.LET(_xlpm.Den,_xlfn.SEQUENCE(_xlpm.MaxInt),_xlfn._xlws.FILTER(_xlpm.Den,MOD($D$19,_xlpm.Den)=0)))))</f>
        <v>2</v>
      </c>
      <c r="F15" s="4">
        <f>Calculations!$E$19/($D15*1000)</f>
        <v>5.4613333333333332</v>
      </c>
      <c r="G15" s="3">
        <f>IF($D$20=0,0,IF(Calculations!$E$21&lt;$E15*$D$20,$E15/(_xlfn.FLOOR.MATH($E15/(Calculations!$E$21/$D$20))+IF(MOD(Calculations!$E$21,$D$20)=0,0,1)),$E15))</f>
        <v>2</v>
      </c>
      <c r="H15" s="4">
        <f>IF($D$20=0,0,MIN(Calculations!$E$20/$D$20,$F15))</f>
        <v>5.4613333333333332</v>
      </c>
      <c r="I15" s="3">
        <v>876</v>
      </c>
      <c r="J15" s="17">
        <f>Calculations!$E$22*Calculations!$E$19</f>
        <v>6.25</v>
      </c>
      <c r="K15" s="17">
        <f>Calculations!$E$22*$F15*$D$20*3*4</f>
        <v>0.3125</v>
      </c>
      <c r="L15" s="17">
        <f>Calculations!$L15</f>
        <v>2.9443896442409936</v>
      </c>
      <c r="M15" s="3">
        <f>_xlfn.FLOOR.MATH($D$21*1024*1024*1024/(($D15*1024)+($D$20*3*4))/60/60/24)</f>
        <v>123</v>
      </c>
      <c r="N15" s="3">
        <f>_xlfn.FLOOR.MATH($D$22/$L15/24)</f>
        <v>99</v>
      </c>
    </row>
    <row r="16" spans="2:14" x14ac:dyDescent="0.2">
      <c r="B16" s="3">
        <v>48000</v>
      </c>
      <c r="C16" s="3">
        <v>128</v>
      </c>
      <c r="D16" s="3">
        <f>$C16/8</f>
        <v>16</v>
      </c>
      <c r="E16" s="3" cm="1">
        <f t="array" ref="E16">_xlfn.LET(_xlpm.MaxInt,Calculations!$E$18/$B16,IF(_xlpm.MaxInt&gt;$D$19,$D$19,MAX(_xlfn.LET(_xlpm.Den,_xlfn.SEQUENCE(_xlpm.MaxInt),_xlfn._xlws.FILTER(_xlpm.Den,MOD($D$19,_xlpm.Den)=0)))))</f>
        <v>2</v>
      </c>
      <c r="F16" s="4">
        <f>Calculations!$E$19/($D16*1000)</f>
        <v>4.0960000000000001</v>
      </c>
      <c r="G16" s="3">
        <f>IF($D$20=0,0,IF(Calculations!$E$21&lt;$E16*$D$20,$E16/(_xlfn.FLOOR.MATH($E16/(Calculations!$E$21/$D$20))+IF(MOD(Calculations!$E$21,$D$20)=0,0,1)),$E16))</f>
        <v>2</v>
      </c>
      <c r="H16" s="4">
        <f>IF($D$20=0,0,MIN(Calculations!$E$20/$D$20,$F16))</f>
        <v>4.0960000000000001</v>
      </c>
      <c r="I16" s="3">
        <v>895</v>
      </c>
      <c r="J16" s="17">
        <f>Calculations!$E$22*Calculations!$E$19</f>
        <v>6.25</v>
      </c>
      <c r="K16" s="17">
        <f>Calculations!$E$22*$F16*$D$20*3*4</f>
        <v>0.234375</v>
      </c>
      <c r="L16" s="17">
        <f>Calculations!$L16</f>
        <v>3.0749051105495875</v>
      </c>
      <c r="M16" s="3">
        <f>_xlfn.FLOOR.MATH($D$21*1024*1024*1024/(($D16*1024)+($D$20*3*4))/60/60/24)</f>
        <v>93</v>
      </c>
      <c r="N16" s="3">
        <f>_xlfn.FLOOR.MATH($D$22/$L16/24)</f>
        <v>94</v>
      </c>
    </row>
    <row r="18" spans="2:8" ht="16" customHeight="1" x14ac:dyDescent="0.2">
      <c r="B18" s="19" t="s">
        <v>9</v>
      </c>
      <c r="C18" s="19"/>
      <c r="D18" s="7" t="s">
        <v>23</v>
      </c>
      <c r="E18" s="8"/>
      <c r="G18" s="6"/>
      <c r="H18" s="6"/>
    </row>
    <row r="19" spans="2:8" x14ac:dyDescent="0.2">
      <c r="B19" s="19" t="s">
        <v>8</v>
      </c>
      <c r="C19" s="19"/>
      <c r="D19" s="7">
        <v>60</v>
      </c>
      <c r="E19" s="8"/>
      <c r="G19" s="6"/>
      <c r="H19" s="6"/>
    </row>
    <row r="20" spans="2:8" x14ac:dyDescent="0.2">
      <c r="B20" s="19" t="s">
        <v>10</v>
      </c>
      <c r="C20" s="19"/>
      <c r="D20" s="7">
        <v>50</v>
      </c>
      <c r="E20" s="8"/>
      <c r="G20" s="6"/>
      <c r="H20" s="6"/>
    </row>
    <row r="21" spans="2:8" ht="16" customHeight="1" x14ac:dyDescent="0.2">
      <c r="B21" s="18" t="s">
        <v>7</v>
      </c>
      <c r="C21" s="18"/>
      <c r="D21" s="7">
        <v>128</v>
      </c>
      <c r="E21" s="9"/>
      <c r="G21" s="6"/>
      <c r="H21" s="6"/>
    </row>
    <row r="22" spans="2:8" x14ac:dyDescent="0.2">
      <c r="B22" s="18" t="s">
        <v>6</v>
      </c>
      <c r="C22" s="18"/>
      <c r="D22" s="7">
        <v>7000</v>
      </c>
      <c r="E22" s="9"/>
      <c r="G22" s="6"/>
      <c r="H22" s="6"/>
    </row>
    <row r="23" spans="2:8" x14ac:dyDescent="0.2">
      <c r="B23" s="19" t="s">
        <v>56</v>
      </c>
      <c r="C23" s="19"/>
      <c r="D23" s="7" t="s">
        <v>43</v>
      </c>
      <c r="E23" s="5"/>
      <c r="F23" s="5"/>
      <c r="G23" s="5"/>
      <c r="H23" s="5"/>
    </row>
  </sheetData>
  <mergeCells count="8">
    <mergeCell ref="B2:N2"/>
    <mergeCell ref="B10:N10"/>
    <mergeCell ref="B22:C22"/>
    <mergeCell ref="B18:C18"/>
    <mergeCell ref="B23:C23"/>
    <mergeCell ref="B19:C19"/>
    <mergeCell ref="B20:C20"/>
    <mergeCell ref="B21:C21"/>
  </mergeCells>
  <dataValidations disablePrompts="1" count="3">
    <dataValidation type="custom" operator="greaterThan" allowBlank="1" showInputMessage="1" showErrorMessage="1" promptTitle="Clip Length" prompt="Must be a multiple of 12" sqref="D19" xr:uid="{FD4AF717-3E62-964A-976F-128EF17E747B}">
      <formula1>MOD($D$19,12)=0</formula1>
    </dataValidation>
    <dataValidation type="whole" allowBlank="1" showErrorMessage="1" sqref="D21" xr:uid="{70AB3D88-D44C-A54B-B173-2AB26786C938}">
      <formula1>1</formula1>
      <formula2>1024</formula2>
    </dataValidation>
    <dataValidation type="whole" operator="greaterThan" allowBlank="1" showErrorMessage="1" sqref="D22" xr:uid="{88FDC7FA-19E5-5D49-B376-13F4BEA369F2}">
      <formula1>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ErrorMessage="1" xr:uid="{1891FC37-3DE1-DD48-B8C0-5B06E6FC9959}">
          <x14:formula1>
            <xm:f>MicPower!$B$3:$B$10</xm:f>
          </x14:formula1>
          <xm:sqref>D18</xm:sqref>
        </x14:dataValidation>
        <x14:dataValidation type="list" operator="greaterThan" allowBlank="1" showErrorMessage="1" xr:uid="{86D21CD2-8F01-FF44-AEC8-B3B75ADB2BEB}">
          <x14:formula1>
            <xm:f>ImuPower!$B$3:$B$12</xm:f>
          </x14:formula1>
          <xm:sqref>D20</xm:sqref>
        </x14:dataValidation>
        <x14:dataValidation type="list" allowBlank="1" showErrorMessage="1" xr:uid="{84278608-E6D2-7D48-908C-0B3F0702D23D}">
          <x14:formula1>
            <xm:f>SdSpeeds!$B$3:$B$12</xm:f>
          </x14:formula1>
          <xm:sqref>D23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796B4-D38A-0A44-A45D-49C17033E884}">
  <dimension ref="B2:L34"/>
  <sheetViews>
    <sheetView tabSelected="1" workbookViewId="0">
      <selection activeCell="E26" sqref="E26"/>
    </sheetView>
  </sheetViews>
  <sheetFormatPr baseColWidth="10" defaultRowHeight="16" x14ac:dyDescent="0.2"/>
  <cols>
    <col min="1" max="1" width="3" customWidth="1"/>
    <col min="2" max="2" width="16.1640625" customWidth="1"/>
    <col min="3" max="3" width="12.5" customWidth="1"/>
    <col min="4" max="4" width="12.6640625" customWidth="1"/>
    <col min="5" max="5" width="19.33203125" customWidth="1"/>
    <col min="6" max="6" width="19.1640625" customWidth="1"/>
    <col min="7" max="7" width="18.33203125" customWidth="1"/>
    <col min="8" max="8" width="18.83203125" customWidth="1"/>
    <col min="9" max="9" width="17.33203125" customWidth="1"/>
    <col min="10" max="10" width="20.1640625" customWidth="1"/>
    <col min="11" max="11" width="19" customWidth="1"/>
  </cols>
  <sheetData>
    <row r="2" spans="2:12" ht="19" x14ac:dyDescent="0.25">
      <c r="B2" s="20" t="s">
        <v>2</v>
      </c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2:12" ht="32" customHeight="1" x14ac:dyDescent="0.2">
      <c r="B3" s="2" t="s">
        <v>0</v>
      </c>
      <c r="C3" s="2" t="s">
        <v>12</v>
      </c>
      <c r="D3" s="2" t="s">
        <v>13</v>
      </c>
      <c r="E3" s="2" t="s">
        <v>65</v>
      </c>
      <c r="F3" s="2" t="s">
        <v>72</v>
      </c>
      <c r="G3" s="2" t="s">
        <v>66</v>
      </c>
      <c r="H3" s="2" t="s">
        <v>67</v>
      </c>
      <c r="I3" s="2" t="s">
        <v>68</v>
      </c>
      <c r="J3" s="2" t="s">
        <v>69</v>
      </c>
      <c r="K3" s="2" t="s">
        <v>70</v>
      </c>
      <c r="L3" s="2" t="s">
        <v>1</v>
      </c>
    </row>
    <row r="4" spans="2:12" x14ac:dyDescent="0.2">
      <c r="B4" s="3">
        <v>8000</v>
      </c>
      <c r="C4" s="3">
        <f>$D4*8</f>
        <v>128</v>
      </c>
      <c r="D4" s="3">
        <f>2*$B4/1000</f>
        <v>16</v>
      </c>
      <c r="E4" s="17">
        <f>Planner!$J4+Planner!$K4+$E$31</f>
        <v>23.9971923828125</v>
      </c>
      <c r="F4" s="17">
        <f>$E4+(_xlfn.CEILING.MATH(Planner!$F4/Planner!$H4)*$E$26)</f>
        <v>48.9971923828125</v>
      </c>
      <c r="G4" s="3">
        <f>$E4/Planner!$F4</f>
        <v>1.9997660319010417</v>
      </c>
      <c r="H4" s="3">
        <f>_xlfn.CEILING.MATH(Planner!$F4/Planner!$H4)*($E$26/Planner!$F4)</f>
        <v>2.0833333333333335</v>
      </c>
      <c r="I4" s="3">
        <f>1000-($G4+$H4)</f>
        <v>995.91690063476562</v>
      </c>
      <c r="J4" s="3">
        <f>($F4/Planner!$F4)+(Planner!$I4/Planner!$E4)</f>
        <v>6.1664326985677089</v>
      </c>
      <c r="K4" s="3">
        <f>1000-$J4</f>
        <v>993.83356730143225</v>
      </c>
      <c r="L4" s="17">
        <f>((($J4*$E$28) + ($K4*$E$27) + ($G4*$E$23) + ($H4*$E$24) + ($I4*$E$25)) / 1000) + MagPower!$E$6 + LOOKUP(Planner!$D$18,MicPower!$B$3:$C$10) + LOOKUP(Planner!$D$20,ImuPower!$B$3:$C$12)</f>
        <v>1.8412364907579208</v>
      </c>
    </row>
    <row r="5" spans="2:12" x14ac:dyDescent="0.2">
      <c r="B5" s="3">
        <v>16000</v>
      </c>
      <c r="C5" s="3">
        <f>$D5*8</f>
        <v>256</v>
      </c>
      <c r="D5" s="3">
        <f>2*$B5/1000</f>
        <v>32</v>
      </c>
      <c r="E5" s="17">
        <f>Planner!$J5+Planner!$K5+$E$31</f>
        <v>23.65386962890625</v>
      </c>
      <c r="F5" s="17">
        <f>$E5+(_xlfn.CEILING.MATH(Planner!$F5/Planner!$H5)*$E$26)</f>
        <v>48.65386962890625</v>
      </c>
      <c r="G5" s="3">
        <f>$E5/Planner!$F5</f>
        <v>3.9423116048177085</v>
      </c>
      <c r="H5" s="3">
        <f>_xlfn.CEILING.MATH(Planner!$F5/Planner!$H5)*($E$26/Planner!$F5)</f>
        <v>4.166666666666667</v>
      </c>
      <c r="I5" s="3">
        <f t="shared" ref="I5:I8" si="0">1000-($G5+$H5)</f>
        <v>991.89102172851562</v>
      </c>
      <c r="J5" s="3">
        <f>($F5/Planner!$F5)+(Planner!$I5/Planner!$E5)</f>
        <v>12.275644938151043</v>
      </c>
      <c r="K5" s="3">
        <f t="shared" ref="K5:K8" si="1">1000-$J5</f>
        <v>987.724355061849</v>
      </c>
      <c r="L5" s="17">
        <f>((($J5*$E$28) + ($K5*$E$27) + ($G5*$E$23) + ($H5*$E$24) + ($I5*$E$25)) / 1000) + MagPower!$E$6 + LOOKUP(Planner!$D$18,MicPower!$B$3:$C$10) + LOOKUP(Planner!$D$20,ImuPower!$B$3:$C$12)</f>
        <v>2.0714797362006294</v>
      </c>
    </row>
    <row r="6" spans="2:12" x14ac:dyDescent="0.2">
      <c r="B6" s="3">
        <v>24000</v>
      </c>
      <c r="C6" s="3">
        <f>$D6*8</f>
        <v>384</v>
      </c>
      <c r="D6" s="3">
        <f>2*$B6/1000</f>
        <v>48</v>
      </c>
      <c r="E6" s="17">
        <f>Planner!$J6+Planner!$K6+$E$31</f>
        <v>23.5394287109375</v>
      </c>
      <c r="F6" s="17">
        <f>$E6+(_xlfn.CEILING.MATH(Planner!$F6/Planner!$H6)*$E$26)</f>
        <v>48.5394287109375</v>
      </c>
      <c r="G6" s="3">
        <f>$E6/Planner!$F6</f>
        <v>5.884857177734375</v>
      </c>
      <c r="H6" s="3">
        <f>_xlfn.CEILING.MATH(Planner!$F6/Planner!$H6)*($E$26/Planner!$F6)</f>
        <v>6.25</v>
      </c>
      <c r="I6" s="3">
        <f t="shared" si="0"/>
        <v>987.86514282226562</v>
      </c>
      <c r="J6" s="3">
        <f>($F6/Planner!$F6)+(Planner!$I6/Planner!$E6)</f>
        <v>18.384857177734375</v>
      </c>
      <c r="K6" s="3">
        <f t="shared" si="1"/>
        <v>981.61514282226562</v>
      </c>
      <c r="L6" s="17">
        <f>((($J6*$E$28) + ($K6*$E$27) + ($G6*$E$23) + ($H6*$E$24) + ($I6*$E$25)) / 1000) + MagPower!$E$6 + LOOKUP(Planner!$D$18,MicPower!$B$3:$C$10) + LOOKUP(Planner!$D$20,ImuPower!$B$3:$C$12)</f>
        <v>2.3017229816433376</v>
      </c>
    </row>
    <row r="7" spans="2:12" x14ac:dyDescent="0.2">
      <c r="B7" s="3">
        <v>32000</v>
      </c>
      <c r="C7" s="3">
        <f>$D7*8</f>
        <v>512</v>
      </c>
      <c r="D7" s="3">
        <f>2*$B7/1000</f>
        <v>64</v>
      </c>
      <c r="E7" s="17">
        <f>Planner!$J7+Planner!$K7+$E$31</f>
        <v>23.482208251953125</v>
      </c>
      <c r="F7" s="17">
        <f>$E7+(_xlfn.CEILING.MATH(Planner!$F7/Planner!$H7)*$E$26)</f>
        <v>48.482208251953125</v>
      </c>
      <c r="G7" s="3">
        <f>$E7/Planner!$F7</f>
        <v>7.827402750651042</v>
      </c>
      <c r="H7" s="3">
        <f>_xlfn.CEILING.MATH(Planner!$F7/Planner!$H7)*($E$26/Planner!$F7)</f>
        <v>8.3333333333333339</v>
      </c>
      <c r="I7" s="3">
        <f t="shared" si="0"/>
        <v>983.83926391601562</v>
      </c>
      <c r="J7" s="3">
        <f>($F7/Planner!$F7)+(Planner!$I7/Planner!$E7)</f>
        <v>24.494069417317711</v>
      </c>
      <c r="K7" s="3">
        <f t="shared" si="1"/>
        <v>975.50593058268225</v>
      </c>
      <c r="L7" s="17">
        <f>((($J7*$E$28) + ($K7*$E$27) + ($G7*$E$23) + ($H7*$E$24) + ($I7*$E$25)) / 1000) + MagPower!$E$6 + LOOKUP(Planner!$D$18,MicPower!$B$3:$C$10) + LOOKUP(Planner!$D$20,ImuPower!$B$3:$C$12)</f>
        <v>2.5319662270860457</v>
      </c>
    </row>
    <row r="8" spans="2:12" x14ac:dyDescent="0.2">
      <c r="B8" s="3">
        <v>48000</v>
      </c>
      <c r="C8" s="3">
        <f>$D8*8</f>
        <v>768</v>
      </c>
      <c r="D8" s="3">
        <f>2*$B8/1000</f>
        <v>96</v>
      </c>
      <c r="E8" s="17">
        <f>Planner!$J8+Planner!$K8+$E$31</f>
        <v>23.42498779296875</v>
      </c>
      <c r="F8" s="17">
        <f>$E8+(_xlfn.CEILING.MATH(Planner!$F8/Planner!$H8)*$E$26)</f>
        <v>48.42498779296875</v>
      </c>
      <c r="G8" s="3">
        <f>$E8/Planner!$F8</f>
        <v>11.712493896484375</v>
      </c>
      <c r="H8" s="3">
        <f>_xlfn.CEILING.MATH(Planner!$F8/Planner!$H8)*($E$26/Planner!$F8)</f>
        <v>12.5</v>
      </c>
      <c r="I8" s="3">
        <f t="shared" si="0"/>
        <v>975.78750610351562</v>
      </c>
      <c r="J8" s="3">
        <f>($F8/Planner!$F8)+(Planner!$I8/Planner!$E8)</f>
        <v>36.712493896484375</v>
      </c>
      <c r="K8" s="3">
        <f t="shared" si="1"/>
        <v>963.28750610351562</v>
      </c>
      <c r="L8" s="17">
        <f>((($J8*$E$28) + ($K8*$E$27) + ($G8*$E$23) + ($H8*$E$24) + ($I8*$E$25)) / 1000) + MagPower!$E$6 + LOOKUP(Planner!$D$18,MicPower!$B$3:$C$10) + LOOKUP(Planner!$D$20,ImuPower!$B$3:$C$12)</f>
        <v>2.9924527179714624</v>
      </c>
    </row>
    <row r="9" spans="2:12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ht="19" x14ac:dyDescent="0.25">
      <c r="B10" s="20" t="s">
        <v>3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2:12" ht="32" customHeight="1" x14ac:dyDescent="0.2">
      <c r="B11" s="2" t="s">
        <v>0</v>
      </c>
      <c r="C11" s="2" t="s">
        <v>12</v>
      </c>
      <c r="D11" s="2" t="s">
        <v>13</v>
      </c>
      <c r="E11" s="2" t="s">
        <v>65</v>
      </c>
      <c r="F11" s="2" t="s">
        <v>72</v>
      </c>
      <c r="G11" s="2" t="s">
        <v>66</v>
      </c>
      <c r="H11" s="2" t="s">
        <v>67</v>
      </c>
      <c r="I11" s="2" t="s">
        <v>68</v>
      </c>
      <c r="J11" s="2" t="s">
        <v>69</v>
      </c>
      <c r="K11" s="2" t="s">
        <v>70</v>
      </c>
      <c r="L11" s="2" t="s">
        <v>1</v>
      </c>
    </row>
    <row r="12" spans="2:12" x14ac:dyDescent="0.2">
      <c r="B12" s="3">
        <v>48000</v>
      </c>
      <c r="C12" s="3">
        <v>16</v>
      </c>
      <c r="D12" s="3">
        <f>$C12/8</f>
        <v>2</v>
      </c>
      <c r="E12" s="17">
        <f>Planner!$J12+Planner!$K12+$E$31</f>
        <v>13.125</v>
      </c>
      <c r="F12" s="17">
        <f>$E12+(_xlfn.CEILING.MATH(Planner!$F12/Planner!$H12)*$E$26)</f>
        <v>63.125</v>
      </c>
      <c r="G12" s="3">
        <f>$E12/Planner!$F12</f>
        <v>0.400543212890625</v>
      </c>
      <c r="H12" s="3">
        <f>_xlfn.CEILING.MATH(Planner!$F12/Planner!$H12)*($E$26/Planner!$F12)</f>
        <v>1.52587890625</v>
      </c>
      <c r="I12" s="3">
        <f t="shared" ref="I12:I16" si="2">1000-($G12+$H12)</f>
        <v>998.07357788085938</v>
      </c>
      <c r="J12" s="3">
        <f>($F12/Planner!$F12)+(Planner!$I12/Planner!$E12)</f>
        <v>262.42642211914062</v>
      </c>
      <c r="K12" s="3">
        <f t="shared" ref="K12:K16" si="3">1000-$J12</f>
        <v>737.57357788085938</v>
      </c>
      <c r="L12" s="17">
        <f>((($J12*$E$28) + ($K12*$E$27) + ($G12*$E$23) + ($H12*$E$24) + ($I12*$E$25)) / 1000) + MagPower!$E$6 + LOOKUP(Planner!$D$18,MicPower!$B$3:$C$10) + LOOKUP(Planner!$D$20,ImuPower!$B$3:$C$12)</f>
        <v>2.2924758563991974</v>
      </c>
    </row>
    <row r="13" spans="2:12" x14ac:dyDescent="0.2">
      <c r="B13" s="3">
        <v>48000</v>
      </c>
      <c r="C13" s="3">
        <v>32</v>
      </c>
      <c r="D13" s="3">
        <f>$C13/8</f>
        <v>4</v>
      </c>
      <c r="E13" s="17">
        <f>Planner!$J13+Planner!$K13+$E$31</f>
        <v>12.1875</v>
      </c>
      <c r="F13" s="17">
        <f>$E13+(_xlfn.CEILING.MATH(Planner!$F13/Planner!$H13)*$E$26)</f>
        <v>37.1875</v>
      </c>
      <c r="G13" s="3">
        <f>$E13/Planner!$F13</f>
        <v>0.743865966796875</v>
      </c>
      <c r="H13" s="3">
        <f>_xlfn.CEILING.MATH(Planner!$F13/Planner!$H13)*($E$26/Planner!$F13)</f>
        <v>1.52587890625</v>
      </c>
      <c r="I13" s="3">
        <f t="shared" si="2"/>
        <v>997.73025512695312</v>
      </c>
      <c r="J13" s="3">
        <f>($F13/Planner!$F13)+(Planner!$I13/Planner!$E13)</f>
        <v>344.26974487304688</v>
      </c>
      <c r="K13" s="3">
        <f t="shared" si="3"/>
        <v>655.73025512695312</v>
      </c>
      <c r="L13" s="17">
        <f>((($J13*$E$28) + ($K13*$E$27) + ($G13*$E$23) + ($H13*$E$24) + ($I13*$E$25)) / 1000) + MagPower!$E$6 + LOOKUP(Planner!$D$18,MicPower!$B$3:$C$10) + LOOKUP(Planner!$D$20,ImuPower!$B$3:$C$12)</f>
        <v>2.5062587116238064</v>
      </c>
    </row>
    <row r="14" spans="2:12" x14ac:dyDescent="0.2">
      <c r="B14" s="3">
        <v>48000</v>
      </c>
      <c r="C14" s="3">
        <v>64</v>
      </c>
      <c r="D14" s="3">
        <f>$C14/8</f>
        <v>8</v>
      </c>
      <c r="E14" s="17">
        <f>Planner!$J14+Planner!$K14+$E$31</f>
        <v>11.71875</v>
      </c>
      <c r="F14" s="17">
        <f>$E14+(_xlfn.CEILING.MATH(Planner!$F14/Planner!$H14)*$E$26)</f>
        <v>36.71875</v>
      </c>
      <c r="G14" s="3">
        <f>$E14/Planner!$F14</f>
        <v>1.430511474609375</v>
      </c>
      <c r="H14" s="3">
        <f>_xlfn.CEILING.MATH(Planner!$F14/Planner!$H14)*($E$26/Planner!$F14)</f>
        <v>3.0517578125</v>
      </c>
      <c r="I14" s="3">
        <f t="shared" si="2"/>
        <v>995.51773071289062</v>
      </c>
      <c r="J14" s="3">
        <f>($F14/Planner!$F14)+(Planner!$I14/Planner!$E14)</f>
        <v>410.98226928710938</v>
      </c>
      <c r="K14" s="3">
        <f t="shared" si="3"/>
        <v>589.01773071289062</v>
      </c>
      <c r="L14" s="17">
        <f>((($J14*$E$28) + ($K14*$E$27) + ($G14*$E$23) + ($H14*$E$24) + ($I14*$E$25)) / 1000) + MagPower!$E$6 + LOOKUP(Planner!$D$18,MicPower!$B$3:$C$10) + LOOKUP(Planner!$D$20,ImuPower!$B$3:$C$12)</f>
        <v>2.7632741779323999</v>
      </c>
    </row>
    <row r="15" spans="2:12" x14ac:dyDescent="0.2">
      <c r="B15" s="3">
        <v>48000</v>
      </c>
      <c r="C15" s="3">
        <v>96</v>
      </c>
      <c r="D15" s="3">
        <f>$C15/8</f>
        <v>12</v>
      </c>
      <c r="E15" s="17">
        <f>Planner!$J15+Planner!$K15+$E$31</f>
        <v>11.5625</v>
      </c>
      <c r="F15" s="17">
        <f>$E15+(_xlfn.CEILING.MATH(Planner!$F15/Planner!$H15)*$E$26)</f>
        <v>36.5625</v>
      </c>
      <c r="G15" s="3">
        <f>$E15/Planner!$F15</f>
        <v>2.117156982421875</v>
      </c>
      <c r="H15" s="3">
        <f>_xlfn.CEILING.MATH(Planner!$F15/Planner!$H15)*($E$26/Planner!$F15)</f>
        <v>4.57763671875</v>
      </c>
      <c r="I15" s="3">
        <f t="shared" si="2"/>
        <v>993.30520629882812</v>
      </c>
      <c r="J15" s="3">
        <f>($F15/Planner!$F15)+(Planner!$I15/Planner!$E15)</f>
        <v>444.69479370117188</v>
      </c>
      <c r="K15" s="3">
        <f t="shared" si="3"/>
        <v>555.30520629882812</v>
      </c>
      <c r="L15" s="17">
        <f>((($J15*$E$28) + ($K15*$E$27) + ($G15*$E$23) + ($H15*$E$24) + ($I15*$E$25)) / 1000) + MagPower!$E$6 + LOOKUP(Planner!$D$18,MicPower!$B$3:$C$10) + LOOKUP(Planner!$D$20,ImuPower!$B$3:$C$12)</f>
        <v>2.9443896442409936</v>
      </c>
    </row>
    <row r="16" spans="2:12" x14ac:dyDescent="0.2">
      <c r="B16" s="3">
        <v>48000</v>
      </c>
      <c r="C16" s="3">
        <v>128</v>
      </c>
      <c r="D16" s="3">
        <f>$C16/8</f>
        <v>16</v>
      </c>
      <c r="E16" s="17">
        <f>Planner!$J16+Planner!$K16+$E$31</f>
        <v>11.484375</v>
      </c>
      <c r="F16" s="17">
        <f>$E16+(_xlfn.CEILING.MATH(Planner!$F16/Planner!$H16)*$E$26)</f>
        <v>36.484375</v>
      </c>
      <c r="G16" s="3">
        <f>$E16/Planner!$F16</f>
        <v>2.803802490234375</v>
      </c>
      <c r="H16" s="3">
        <f>_xlfn.CEILING.MATH(Planner!$F16/Planner!$H16)*($E$26/Planner!$F16)</f>
        <v>6.103515625</v>
      </c>
      <c r="I16" s="3">
        <f t="shared" si="2"/>
        <v>991.09268188476562</v>
      </c>
      <c r="J16" s="3">
        <f>($F16/Planner!$F16)+(Planner!$I16/Planner!$E16)</f>
        <v>456.40731811523438</v>
      </c>
      <c r="K16" s="3">
        <f t="shared" si="3"/>
        <v>543.59268188476562</v>
      </c>
      <c r="L16" s="17">
        <f>((($J16*$E$28) + ($K16*$E$27) + ($G16*$E$23) + ($H16*$E$24) + ($I16*$E$25)) / 1000) + MagPower!$E$6 + LOOKUP(Planner!$D$18,MicPower!$B$3:$C$10) + LOOKUP(Planner!$D$20,ImuPower!$B$3:$C$12)</f>
        <v>3.0749051105495875</v>
      </c>
    </row>
    <row r="18" spans="2:7" x14ac:dyDescent="0.2">
      <c r="B18" s="19" t="s">
        <v>20</v>
      </c>
      <c r="C18" s="19"/>
      <c r="D18" s="19"/>
      <c r="E18" s="7">
        <v>96000</v>
      </c>
      <c r="F18" s="6"/>
      <c r="G18" s="1"/>
    </row>
    <row r="19" spans="2:7" x14ac:dyDescent="0.2">
      <c r="B19" s="19" t="s">
        <v>19</v>
      </c>
      <c r="C19" s="19"/>
      <c r="D19" s="19"/>
      <c r="E19" s="7">
        <v>65536</v>
      </c>
      <c r="F19" s="6"/>
      <c r="G19" s="1"/>
    </row>
    <row r="20" spans="2:7" x14ac:dyDescent="0.2">
      <c r="B20" s="19" t="s">
        <v>22</v>
      </c>
      <c r="C20" s="19"/>
      <c r="D20" s="19"/>
      <c r="E20" s="7">
        <f>($E$18/80)+100</f>
        <v>1300</v>
      </c>
      <c r="F20" s="6"/>
      <c r="G20" s="1"/>
    </row>
    <row r="21" spans="2:7" x14ac:dyDescent="0.2">
      <c r="B21" s="19" t="s">
        <v>21</v>
      </c>
      <c r="C21" s="19"/>
      <c r="D21" s="19"/>
      <c r="E21" s="7">
        <v>127</v>
      </c>
      <c r="F21" s="6"/>
      <c r="G21" s="1"/>
    </row>
    <row r="22" spans="2:7" x14ac:dyDescent="0.2">
      <c r="B22" s="19" t="s">
        <v>55</v>
      </c>
      <c r="C22" s="19"/>
      <c r="D22" s="19"/>
      <c r="E22" s="7">
        <f>1000/(MIN(24,LOOKUP(Planner!$D$23,SdSpeeds!B3:C12))*1024*1024)</f>
        <v>9.5367431640625E-5</v>
      </c>
      <c r="F22" s="6"/>
      <c r="G22" s="1"/>
    </row>
    <row r="23" spans="2:7" x14ac:dyDescent="0.2">
      <c r="B23" s="19" t="s">
        <v>35</v>
      </c>
      <c r="C23" s="19"/>
      <c r="D23" s="19"/>
      <c r="E23" s="7">
        <v>75</v>
      </c>
      <c r="F23" s="6"/>
      <c r="G23" s="16" t="s">
        <v>42</v>
      </c>
    </row>
    <row r="24" spans="2:7" x14ac:dyDescent="0.2">
      <c r="B24" s="19" t="s">
        <v>34</v>
      </c>
      <c r="C24" s="19"/>
      <c r="D24" s="19"/>
      <c r="E24" s="7">
        <v>35</v>
      </c>
      <c r="F24" s="6"/>
      <c r="G24" s="16" t="s">
        <v>42</v>
      </c>
    </row>
    <row r="25" spans="2:7" x14ac:dyDescent="0.2">
      <c r="B25" s="19" t="s">
        <v>71</v>
      </c>
      <c r="C25" s="19"/>
      <c r="D25" s="19"/>
      <c r="E25" s="7">
        <v>0.6</v>
      </c>
      <c r="F25" s="6"/>
      <c r="G25" s="16" t="s">
        <v>42</v>
      </c>
    </row>
    <row r="26" spans="2:7" x14ac:dyDescent="0.2">
      <c r="B26" s="19" t="s">
        <v>39</v>
      </c>
      <c r="C26" s="19"/>
      <c r="D26" s="19"/>
      <c r="E26" s="7">
        <v>25</v>
      </c>
      <c r="F26" s="6"/>
      <c r="G26" s="16" t="s">
        <v>42</v>
      </c>
    </row>
    <row r="27" spans="2:7" x14ac:dyDescent="0.2">
      <c r="B27" s="19" t="s">
        <v>40</v>
      </c>
      <c r="C27" s="19"/>
      <c r="D27" s="19"/>
      <c r="E27" s="7">
        <v>0.52</v>
      </c>
      <c r="F27" s="14" t="s">
        <v>37</v>
      </c>
      <c r="G27" s="1"/>
    </row>
    <row r="28" spans="2:7" x14ac:dyDescent="0.2">
      <c r="B28" s="19" t="s">
        <v>41</v>
      </c>
      <c r="C28" s="19"/>
      <c r="D28" s="19"/>
      <c r="E28" s="7">
        <v>2.82</v>
      </c>
      <c r="F28" s="14" t="s">
        <v>37</v>
      </c>
      <c r="G28" s="1"/>
    </row>
    <row r="29" spans="2:7" x14ac:dyDescent="0.2">
      <c r="B29" s="19" t="s">
        <v>57</v>
      </c>
      <c r="C29" s="19"/>
      <c r="D29" s="19"/>
      <c r="E29" s="7">
        <v>1.4999999999999999E-2</v>
      </c>
      <c r="F29" s="1"/>
      <c r="G29" s="1"/>
    </row>
    <row r="30" spans="2:7" x14ac:dyDescent="0.2">
      <c r="B30" s="19" t="s">
        <v>58</v>
      </c>
      <c r="C30" s="19"/>
      <c r="D30" s="19"/>
      <c r="E30" s="7">
        <v>90</v>
      </c>
      <c r="F30" s="1"/>
      <c r="G30" s="1"/>
    </row>
    <row r="31" spans="2:7" x14ac:dyDescent="0.2">
      <c r="B31" s="19" t="s">
        <v>64</v>
      </c>
      <c r="C31" s="19"/>
      <c r="D31" s="19"/>
      <c r="E31" s="7">
        <v>5</v>
      </c>
      <c r="F31" s="1"/>
      <c r="G31" s="1"/>
    </row>
    <row r="34" spans="2:2" x14ac:dyDescent="0.2">
      <c r="B34" s="16" t="s">
        <v>73</v>
      </c>
    </row>
  </sheetData>
  <mergeCells count="16">
    <mergeCell ref="B24:D24"/>
    <mergeCell ref="B2:L2"/>
    <mergeCell ref="B10:L10"/>
    <mergeCell ref="B28:D28"/>
    <mergeCell ref="B27:D27"/>
    <mergeCell ref="B31:D31"/>
    <mergeCell ref="B30:D30"/>
    <mergeCell ref="B29:D29"/>
    <mergeCell ref="B18:D18"/>
    <mergeCell ref="B19:D19"/>
    <mergeCell ref="B20:D20"/>
    <mergeCell ref="B21:D21"/>
    <mergeCell ref="B22:D22"/>
    <mergeCell ref="B23:D23"/>
    <mergeCell ref="B25:D25"/>
    <mergeCell ref="B26:D26"/>
  </mergeCells>
  <dataValidations count="2">
    <dataValidation type="whole" operator="greaterThan" allowBlank="1" showErrorMessage="1" sqref="E18:E21" xr:uid="{FD4AF717-3E62-964A-976F-128EF17E747B}">
      <formula1>0</formula1>
    </dataValidation>
    <dataValidation type="decimal" operator="greaterThan" allowBlank="1" showErrorMessage="1" sqref="E22:E31" xr:uid="{B0BECDC2-47E6-BD40-AF9F-4E8374D492B6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E40DC-E040-2540-A1A1-46E02D23D818}">
  <dimension ref="B2:C12"/>
  <sheetViews>
    <sheetView workbookViewId="0"/>
  </sheetViews>
  <sheetFormatPr baseColWidth="10" defaultRowHeight="16" x14ac:dyDescent="0.2"/>
  <cols>
    <col min="1" max="1" width="3" style="1" customWidth="1"/>
    <col min="2" max="2" width="21.1640625" style="1" customWidth="1"/>
    <col min="3" max="3" width="11.83203125" style="1" customWidth="1"/>
    <col min="4" max="16384" width="10.83203125" style="1"/>
  </cols>
  <sheetData>
    <row r="2" spans="2:3" ht="19" x14ac:dyDescent="0.2">
      <c r="B2" s="11" t="s">
        <v>44</v>
      </c>
      <c r="C2" s="12" t="s">
        <v>45</v>
      </c>
    </row>
    <row r="3" spans="2:3" x14ac:dyDescent="0.2">
      <c r="B3" s="10" t="s">
        <v>46</v>
      </c>
      <c r="C3" s="3">
        <v>2</v>
      </c>
    </row>
    <row r="4" spans="2:3" x14ac:dyDescent="0.2">
      <c r="B4" s="10" t="s">
        <v>47</v>
      </c>
      <c r="C4" s="3">
        <v>4</v>
      </c>
    </row>
    <row r="5" spans="2:3" x14ac:dyDescent="0.2">
      <c r="B5" s="10" t="s">
        <v>48</v>
      </c>
      <c r="C5" s="3">
        <v>6</v>
      </c>
    </row>
    <row r="6" spans="2:3" x14ac:dyDescent="0.2">
      <c r="B6" s="10" t="s">
        <v>43</v>
      </c>
      <c r="C6" s="3">
        <v>10</v>
      </c>
    </row>
    <row r="7" spans="2:3" x14ac:dyDescent="0.2">
      <c r="B7" s="10" t="s">
        <v>49</v>
      </c>
      <c r="C7" s="3">
        <v>30</v>
      </c>
    </row>
    <row r="8" spans="2:3" x14ac:dyDescent="0.2">
      <c r="B8" s="10" t="s">
        <v>50</v>
      </c>
      <c r="C8" s="3">
        <v>6</v>
      </c>
    </row>
    <row r="9" spans="2:3" x14ac:dyDescent="0.2">
      <c r="B9" s="10" t="s">
        <v>51</v>
      </c>
      <c r="C9" s="3">
        <v>10</v>
      </c>
    </row>
    <row r="10" spans="2:3" x14ac:dyDescent="0.2">
      <c r="B10" s="10" t="s">
        <v>52</v>
      </c>
      <c r="C10" s="3">
        <v>30</v>
      </c>
    </row>
    <row r="11" spans="2:3" x14ac:dyDescent="0.2">
      <c r="B11" s="10" t="s">
        <v>53</v>
      </c>
      <c r="C11" s="3">
        <v>60</v>
      </c>
    </row>
    <row r="12" spans="2:3" x14ac:dyDescent="0.2">
      <c r="B12" s="10" t="s">
        <v>54</v>
      </c>
      <c r="C12" s="3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3646D-9DB8-D446-B44D-C3F9E17F8C03}">
  <dimension ref="A1"/>
  <sheetViews>
    <sheetView workbookViewId="0"/>
  </sheetViews>
  <sheetFormatPr baseColWidth="10" defaultRowHeight="16" x14ac:dyDescent="0.2"/>
  <cols>
    <col min="1" max="1" width="3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077FD-4FA3-5348-9A82-5A2CD68B67D4}">
  <dimension ref="B2:D10"/>
  <sheetViews>
    <sheetView workbookViewId="0"/>
  </sheetViews>
  <sheetFormatPr baseColWidth="10" defaultRowHeight="16" x14ac:dyDescent="0.2"/>
  <cols>
    <col min="1" max="1" width="3" style="1" customWidth="1"/>
    <col min="2" max="2" width="18.83203125" style="1" customWidth="1"/>
    <col min="3" max="3" width="22" style="1" customWidth="1"/>
    <col min="4" max="16384" width="10.83203125" style="1"/>
  </cols>
  <sheetData>
    <row r="2" spans="2:4" ht="37" customHeight="1" x14ac:dyDescent="0.2">
      <c r="B2" s="11" t="s">
        <v>28</v>
      </c>
      <c r="C2" s="12" t="s">
        <v>29</v>
      </c>
    </row>
    <row r="3" spans="2:4" x14ac:dyDescent="0.2">
      <c r="B3" s="13" t="s">
        <v>30</v>
      </c>
      <c r="C3" s="3">
        <v>0.3</v>
      </c>
      <c r="D3" s="15" t="s">
        <v>36</v>
      </c>
    </row>
    <row r="4" spans="2:4" x14ac:dyDescent="0.2">
      <c r="B4" s="13" t="s">
        <v>16</v>
      </c>
      <c r="C4" s="3">
        <v>0.54</v>
      </c>
      <c r="D4" s="15" t="s">
        <v>36</v>
      </c>
    </row>
    <row r="5" spans="2:4" x14ac:dyDescent="0.2">
      <c r="B5" s="13" t="s">
        <v>17</v>
      </c>
      <c r="C5" s="3">
        <v>0.95</v>
      </c>
      <c r="D5" s="15" t="s">
        <v>36</v>
      </c>
    </row>
    <row r="6" spans="2:4" x14ac:dyDescent="0.2">
      <c r="B6" s="13" t="s">
        <v>31</v>
      </c>
      <c r="C6" s="3">
        <v>1.1200000000000001</v>
      </c>
      <c r="D6" s="15" t="s">
        <v>36</v>
      </c>
    </row>
    <row r="7" spans="2:4" x14ac:dyDescent="0.2">
      <c r="B7" s="13" t="s">
        <v>18</v>
      </c>
      <c r="C7" s="3">
        <v>0.34</v>
      </c>
      <c r="D7" s="15" t="s">
        <v>36</v>
      </c>
    </row>
    <row r="8" spans="2:4" x14ac:dyDescent="0.2">
      <c r="B8" s="13" t="s">
        <v>32</v>
      </c>
      <c r="C8" s="3">
        <v>0.65</v>
      </c>
      <c r="D8" s="15" t="s">
        <v>36</v>
      </c>
    </row>
    <row r="9" spans="2:4" x14ac:dyDescent="0.2">
      <c r="B9" s="13" t="s">
        <v>23</v>
      </c>
      <c r="C9" s="3">
        <v>0.48</v>
      </c>
      <c r="D9" s="15" t="s">
        <v>36</v>
      </c>
    </row>
    <row r="10" spans="2:4" x14ac:dyDescent="0.2">
      <c r="B10" s="13" t="s">
        <v>33</v>
      </c>
      <c r="C10" s="3">
        <v>0.7</v>
      </c>
      <c r="D10" s="15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78FC6-73A5-8646-8750-584E32231A24}">
  <dimension ref="B2:C12"/>
  <sheetViews>
    <sheetView workbookViewId="0"/>
  </sheetViews>
  <sheetFormatPr baseColWidth="10" defaultRowHeight="16" x14ac:dyDescent="0.2"/>
  <cols>
    <col min="1" max="1" width="3" customWidth="1"/>
    <col min="2" max="2" width="20.5" customWidth="1"/>
    <col min="3" max="3" width="22.33203125" customWidth="1"/>
  </cols>
  <sheetData>
    <row r="2" spans="2:3" ht="37" customHeight="1" x14ac:dyDescent="0.2">
      <c r="B2" s="11" t="s">
        <v>38</v>
      </c>
      <c r="C2" s="12" t="s">
        <v>29</v>
      </c>
    </row>
    <row r="3" spans="2:3" x14ac:dyDescent="0.2">
      <c r="B3" s="10">
        <v>0</v>
      </c>
      <c r="C3" s="3">
        <v>0</v>
      </c>
    </row>
    <row r="4" spans="2:3" x14ac:dyDescent="0.2">
      <c r="B4" s="10">
        <v>3</v>
      </c>
      <c r="C4" s="3">
        <v>4.6999999999999999E-4</v>
      </c>
    </row>
    <row r="5" spans="2:3" x14ac:dyDescent="0.2">
      <c r="B5" s="10">
        <v>6</v>
      </c>
      <c r="C5" s="3">
        <v>6.1000000000000004E-3</v>
      </c>
    </row>
    <row r="6" spans="2:3" x14ac:dyDescent="0.2">
      <c r="B6" s="10">
        <v>12</v>
      </c>
      <c r="C6" s="3">
        <v>6.1000000000000004E-3</v>
      </c>
    </row>
    <row r="7" spans="2:3" x14ac:dyDescent="0.2">
      <c r="B7" s="10">
        <v>25</v>
      </c>
      <c r="C7" s="3">
        <v>6.1000000000000004E-3</v>
      </c>
    </row>
    <row r="8" spans="2:3" x14ac:dyDescent="0.2">
      <c r="B8" s="10">
        <v>50</v>
      </c>
      <c r="C8" s="3">
        <v>6.1000000000000004E-3</v>
      </c>
    </row>
    <row r="9" spans="2:3" x14ac:dyDescent="0.2">
      <c r="B9" s="10">
        <v>100</v>
      </c>
      <c r="C9" s="3">
        <v>6.1000000000000004E-3</v>
      </c>
    </row>
    <row r="10" spans="2:3" x14ac:dyDescent="0.2">
      <c r="B10" s="10">
        <v>200</v>
      </c>
      <c r="C10" s="3">
        <v>6.1000000000000004E-3</v>
      </c>
    </row>
    <row r="11" spans="2:3" x14ac:dyDescent="0.2">
      <c r="B11" s="10">
        <v>400</v>
      </c>
      <c r="C11" s="3">
        <v>6.1000000000000004E-3</v>
      </c>
    </row>
    <row r="12" spans="2:3" x14ac:dyDescent="0.2">
      <c r="B12" s="10">
        <v>800</v>
      </c>
      <c r="C12" s="3">
        <v>6.1000000000000004E-3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01CB-223E-6E40-8F48-090B63EE498E}">
  <dimension ref="B2:E6"/>
  <sheetViews>
    <sheetView workbookViewId="0"/>
  </sheetViews>
  <sheetFormatPr baseColWidth="10" defaultRowHeight="16" x14ac:dyDescent="0.2"/>
  <cols>
    <col min="1" max="1" width="3" customWidth="1"/>
    <col min="5" max="5" width="12.1640625" bestFit="1" customWidth="1"/>
  </cols>
  <sheetData>
    <row r="2" spans="2:5" x14ac:dyDescent="0.2">
      <c r="B2" s="19" t="s">
        <v>59</v>
      </c>
      <c r="C2" s="19"/>
      <c r="D2" s="19"/>
      <c r="E2" s="7">
        <v>1.0999999999999999E-2</v>
      </c>
    </row>
    <row r="3" spans="2:5" x14ac:dyDescent="0.2">
      <c r="B3" s="19" t="s">
        <v>60</v>
      </c>
      <c r="C3" s="19"/>
      <c r="D3" s="19"/>
      <c r="E3" s="7">
        <v>3.5</v>
      </c>
    </row>
    <row r="4" spans="2:5" x14ac:dyDescent="0.2">
      <c r="B4" s="19" t="s">
        <v>61</v>
      </c>
      <c r="C4" s="19"/>
      <c r="D4" s="19"/>
      <c r="E4" s="21">
        <v>0.6</v>
      </c>
    </row>
    <row r="5" spans="2:5" x14ac:dyDescent="0.2">
      <c r="B5" s="19" t="s">
        <v>62</v>
      </c>
      <c r="C5" s="19"/>
      <c r="D5" s="19"/>
      <c r="E5" s="21">
        <v>5.0000000000000002E-5</v>
      </c>
    </row>
    <row r="6" spans="2:5" x14ac:dyDescent="0.2">
      <c r="B6" s="19" t="s">
        <v>63</v>
      </c>
      <c r="C6" s="19"/>
      <c r="D6" s="19"/>
      <c r="E6">
        <f>(($E$2*$E$3/1000)+((Calculations!$E$29-$E$2)*$E$4/1000)+((Calculations!$E$30-Calculations!$E$29)*$E$5/1000))*(1000/Calculations!$E$30)</f>
        <v>5.0443611111111112E-4</v>
      </c>
    </row>
  </sheetData>
  <mergeCells count="5">
    <mergeCell ref="B6:D6"/>
    <mergeCell ref="B2:D2"/>
    <mergeCell ref="B3:D3"/>
    <mergeCell ref="B4:D4"/>
    <mergeCell ref="B5:D5"/>
  </mergeCells>
  <dataValidations count="1">
    <dataValidation type="decimal" operator="greaterThan" allowBlank="1" showErrorMessage="1" sqref="E2:E3" xr:uid="{B90A91FC-3EC7-BE48-A8A4-DEC4CC970FD2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Planner</vt:lpstr>
      <vt:lpstr>Calculations</vt:lpstr>
      <vt:lpstr>SdSpeeds</vt:lpstr>
      <vt:lpstr>SdPower</vt:lpstr>
      <vt:lpstr>MicPower</vt:lpstr>
      <vt:lpstr>ImuPower</vt:lpstr>
      <vt:lpstr>MagPower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Hedgecock, Will</dc:creator>
  <cp:lastModifiedBy>Hedgecock, Will</cp:lastModifiedBy>
  <dcterms:created xsi:type="dcterms:W3CDTF">2026-02-06T17:44:26Z</dcterms:created>
  <dcterms:modified xsi:type="dcterms:W3CDTF">2026-02-12T19:38:32Z</dcterms:modified>
</cp:coreProperties>
</file>